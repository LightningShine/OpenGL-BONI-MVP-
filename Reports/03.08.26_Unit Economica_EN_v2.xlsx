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amer\Nextcloud2\05_Finance\Reports\"/>
    </mc:Choice>
  </mc:AlternateContent>
  <xr:revisionPtr revIDLastSave="0" documentId="8_{8D459724-054C-46AD-81F5-6F46FA84179B}" xr6:coauthVersionLast="47" xr6:coauthVersionMax="47" xr10:uidLastSave="{00000000-0000-0000-0000-000000000000}"/>
  <bookViews>
    <workbookView xWindow="-108" yWindow="-108" windowWidth="34776" windowHeight="21096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+JziP9zwuLm0syJ5xSJvFo9XcuZJEQXbx896WmAWm1c="/>
    </ext>
  </extLst>
</workbook>
</file>

<file path=xl/calcChain.xml><?xml version="1.0" encoding="utf-8"?>
<calcChain xmlns="http://schemas.openxmlformats.org/spreadsheetml/2006/main">
  <c r="D14" i="1" l="1"/>
  <c r="D13" i="1"/>
  <c r="E14" i="1" l="1"/>
  <c r="E13" i="1"/>
  <c r="F14" i="1" l="1"/>
  <c r="F13" i="1"/>
</calcChain>
</file>

<file path=xl/sharedStrings.xml><?xml version="1.0" encoding="utf-8"?>
<sst xmlns="http://schemas.openxmlformats.org/spreadsheetml/2006/main" count="33" uniqueCount="30">
  <si>
    <t>Izmaksu pozīcijas nosaukums</t>
  </si>
  <si>
    <r>
      <rPr>
        <b/>
        <sz val="12"/>
        <color rgb="FF000000"/>
        <rFont val="Times New Roman"/>
      </rPr>
      <t>Pakalpojuma sniedzējs </t>
    </r>
    <r>
      <rPr>
        <sz val="12"/>
        <color rgb="FF000000"/>
        <rFont val="Times New Roman"/>
      </rPr>
      <t>(Ja zinams)</t>
    </r>
  </si>
  <si>
    <t>Daudzums (gab) </t>
  </si>
  <si>
    <r>
      <rPr>
        <b/>
        <sz val="12"/>
        <color rgb="FF000000"/>
        <rFont val="Times New Roman"/>
      </rPr>
      <t xml:space="preserve">Sūtīšanas izmaksas </t>
    </r>
    <r>
      <rPr>
        <sz val="12"/>
        <color rgb="FF000000"/>
        <rFont val="Times New Roman"/>
      </rPr>
      <t>(Vienrezeja apmaksa)</t>
    </r>
  </si>
  <si>
    <r>
      <rPr>
        <b/>
        <sz val="12"/>
        <color rgb="FF000000"/>
        <rFont val="Times New Roman"/>
      </rPr>
      <t xml:space="preserve">Cena par vienu vienību </t>
    </r>
    <r>
      <rPr>
        <sz val="12"/>
        <color rgb="FF000000"/>
        <rFont val="Times New Roman"/>
      </rPr>
      <t>(ar PVN)</t>
    </r>
  </si>
  <si>
    <t>Izmaksu pamatojošs dokuments</t>
  </si>
  <si>
    <t>Izmaksu nepieciešamības pamatojums pieteikuma mērķa sasniegšanai</t>
  </si>
  <si>
    <t>Piezīmes</t>
  </si>
  <si>
    <t>Materiālu un pakalpojumu izmaksas</t>
  </si>
  <si>
    <t>WitMotion WTRTK-980 </t>
  </si>
  <si>
    <t>WitMotion Shenzhen Co.,Ltd</t>
  </si>
  <si>
    <t>Oficiālā mājaslapa produkta aprakstam:</t>
  </si>
  <si>
    <t>Nepieciešamās izmaksas tiks veiktas (RTK moduļa jeb GPS/GNSS) moduļa iegādei. Nepieciešams, lai nodrošinātu stabilu saziņu un prototipa precīzai pozicionēšanas funkcijai.</t>
  </si>
  <si>
    <t>Cena uzraditā failā ir parvērsta no dolariem uz euro uz 12.02.2025 gadā kursa</t>
  </si>
  <si>
    <t>Links uz aprakstu</t>
  </si>
  <si>
    <t>Links</t>
  </si>
  <si>
    <t>18650 baterijas elementi</t>
  </si>
  <si>
    <t>– (iekļauts 3 piedāvājumu salīdzinājumā)</t>
  </si>
  <si>
    <t>6.52 € </t>
  </si>
  <si>
    <t>Cenu aptaujas kopsavilkums:</t>
  </si>
  <si>
    <t>Tiks iegādāti barošanas elementi (baterijas), kas nodrošinās prototipa energoapgādi. Tie nepieciešami ierīces darbības testēšanai un eksperimenta norisei.</t>
  </si>
  <si>
    <t>AliExpress</t>
  </si>
  <si>
    <t>6dBi 2.4Ghz 5Ghz Dual Band Wifi Antenna</t>
  </si>
  <si>
    <r>
      <rPr>
        <b/>
        <sz val="11"/>
        <rFont val="Calibri"/>
      </rPr>
      <t xml:space="preserve">Interneta veikala cenrādis </t>
    </r>
    <r>
      <rPr>
        <b/>
        <u/>
        <sz val="11"/>
        <color rgb="FF1155CC"/>
        <rFont val="Calibri"/>
      </rPr>
      <t>Links</t>
    </r>
  </si>
  <si>
    <t>Antennas priekš Radio Moduļa</t>
  </si>
  <si>
    <t>Active W70C GNSS Antenna High-precision 1.5m MMCX-JW</t>
  </si>
  <si>
    <r>
      <rPr>
        <b/>
        <sz val="11"/>
        <rFont val="Calibri"/>
      </rPr>
      <t xml:space="preserve">Interneta veikala cenrādis </t>
    </r>
    <r>
      <rPr>
        <b/>
        <u/>
        <sz val="11"/>
        <color rgb="FF1155CC"/>
        <rFont val="Calibri"/>
      </rPr>
      <t>Links</t>
    </r>
  </si>
  <si>
    <t>Antennas priekš RTK moduļa</t>
  </si>
  <si>
    <t>Ar Piegadi</t>
  </si>
  <si>
    <t>Bez Piegadēs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</si>
</sst>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[$€-426]"/>
    <numFmt numFmtId="166" formatCode="[$р.-419]#,##0.00"/>
    <numFmt numFmtId="167" formatCode="#,##0.00\ [$€-1]_);[Red]\(#,##0.00\ [$€-1]\)"/>
  </numFmts>
  <fonts count="13" x14ac:knownFonts="1">
    <font>
      <sz val="11"/>
      <color theme="1"/>
      <name val="Calibri"/>
      <scheme val="minor"/>
    </font>
    <font>
      <b/>
      <sz val="12"/>
      <color rgb="FF000000"/>
      <name val="Times New Roman"/>
    </font>
    <font>
      <sz val="12"/>
      <color rgb="FF000000"/>
      <name val="Times New Roman"/>
    </font>
    <font>
      <sz val="1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u/>
      <sz val="11"/>
      <color theme="10"/>
      <name val="Calibri"/>
    </font>
    <font>
      <b/>
      <u/>
      <sz val="11"/>
      <color rgb="FF0000FF"/>
      <name val="Calibri"/>
    </font>
    <font>
      <b/>
      <u/>
      <sz val="11"/>
      <color rgb="FF0563C1"/>
      <name val="Calibri"/>
    </font>
    <font>
      <sz val="11"/>
      <color theme="1"/>
      <name val="Times New Roman"/>
    </font>
    <font>
      <b/>
      <sz val="11"/>
      <color theme="1"/>
      <name val="Calibri"/>
    </font>
    <font>
      <b/>
      <sz val="11"/>
      <name val="Calibri"/>
    </font>
    <font>
      <b/>
      <u/>
      <sz val="11"/>
      <color rgb="FF1155CC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4" fillId="0" borderId="4" xfId="0" applyFont="1" applyBorder="1"/>
    <xf numFmtId="0" fontId="1" fillId="0" borderId="3" xfId="0" applyFont="1" applyBorder="1" applyAlignment="1">
      <alignment horizontal="center" vertical="center" wrapText="1"/>
    </xf>
    <xf numFmtId="164" fontId="1" fillId="0" borderId="3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64" fontId="4" fillId="0" borderId="0" xfId="0" applyNumberFormat="1" applyFont="1"/>
    <xf numFmtId="0" fontId="1" fillId="0" borderId="4" xfId="0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0" fontId="9" fillId="0" borderId="4" xfId="0" applyFont="1" applyBorder="1"/>
    <xf numFmtId="164" fontId="10" fillId="0" borderId="4" xfId="0" applyNumberFormat="1" applyFont="1" applyBorder="1" applyAlignment="1">
      <alignment horizontal="center" vertical="center" wrapText="1"/>
    </xf>
    <xf numFmtId="167" fontId="1" fillId="0" borderId="4" xfId="0" applyNumberFormat="1" applyFont="1" applyBorder="1" applyAlignment="1">
      <alignment horizontal="center" vertical="center" wrapText="1"/>
    </xf>
    <xf numFmtId="164" fontId="1" fillId="4" borderId="4" xfId="0" applyNumberFormat="1" applyFont="1" applyFill="1" applyBorder="1" applyAlignment="1">
      <alignment horizontal="center" vertical="center" wrapText="1"/>
    </xf>
    <xf numFmtId="167" fontId="5" fillId="0" borderId="3" xfId="0" applyNumberFormat="1" applyFont="1" applyBorder="1" applyAlignment="1">
      <alignment horizontal="center"/>
    </xf>
    <xf numFmtId="0" fontId="3" fillId="0" borderId="5" xfId="0" applyFont="1" applyBorder="1"/>
    <xf numFmtId="164" fontId="1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2" fontId="1" fillId="0" borderId="3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7" xfId="0" applyFont="1" applyBorder="1"/>
    <xf numFmtId="0" fontId="3" fillId="0" borderId="2" xfId="0" applyFont="1" applyBorder="1"/>
    <xf numFmtId="0" fontId="3" fillId="0" borderId="6" xfId="0" applyFont="1" applyBorder="1"/>
    <xf numFmtId="0" fontId="1" fillId="0" borderId="3" xfId="0" applyFont="1" applyBorder="1" applyAlignment="1">
      <alignment vertical="center" wrapText="1"/>
    </xf>
    <xf numFmtId="166" fontId="5" fillId="0" borderId="3" xfId="0" applyNumberFormat="1" applyFont="1" applyBorder="1" applyAlignment="1">
      <alignment horizontal="center" vertical="center" wrapText="1"/>
    </xf>
    <xf numFmtId="164" fontId="1" fillId="3" borderId="3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liexpress.com/item/1005001692922292.html?osf=ppc_ug&amp;guideModule=ppc_ug&amp;src=google&amp;albch=search&amp;acnt=479-062-3723&amp;isdl=y&amp;aff_short_key=UneMJZVf&amp;albcp=266121556&amp;albag=7593673036&amp;slnk=&amp;trgt=dsa-42862830006&amp;plac=&amp;crea=426823514858&amp;albad=426823514858&amp;netw=g&amp;device=c&amp;mtctp=&amp;memo1=&amp;albbt=Google_7_search&amp;aff_platform=google&amp;albagn=888888&amp;isSmbActive=false&amp;isSmbAutoCall=false&amp;needSmbHouyi=false&amp;gad_source=1&amp;gad_campaignid=266121556" TargetMode="External"/><Relationship Id="rId2" Type="http://schemas.openxmlformats.org/officeDocument/2006/relationships/hyperlink" Target="https://www.lemona.lv/rechageable-battery-18650-3-6v-3450mah-10a-li-ion-molicel-inr-18650-m35a.html" TargetMode="External"/><Relationship Id="rId1" Type="http://schemas.openxmlformats.org/officeDocument/2006/relationships/hyperlink" Target="https://www.wit-motion.com/RTK/68.html" TargetMode="External"/><Relationship Id="rId4" Type="http://schemas.openxmlformats.org/officeDocument/2006/relationships/hyperlink" Target="https://www.aliexpress.com/i/1005010578437183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48"/>
  <sheetViews>
    <sheetView tabSelected="1" workbookViewId="0">
      <selection activeCell="I7" sqref="I7"/>
    </sheetView>
  </sheetViews>
  <sheetFormatPr defaultColWidth="14.44140625" defaultRowHeight="15" customHeight="1" x14ac:dyDescent="0.3"/>
  <cols>
    <col min="1" max="1" width="16.6640625" customWidth="1"/>
    <col min="2" max="3" width="18.33203125" customWidth="1"/>
    <col min="4" max="4" width="15.44140625" customWidth="1"/>
    <col min="5" max="5" width="18.33203125" customWidth="1"/>
    <col min="6" max="6" width="24.33203125" customWidth="1"/>
    <col min="7" max="7" width="31" customWidth="1"/>
    <col min="8" max="8" width="13.109375" customWidth="1"/>
    <col min="9" max="22" width="8.6640625" customWidth="1"/>
  </cols>
  <sheetData>
    <row r="1" spans="1:20" ht="14.4" x14ac:dyDescent="0.3">
      <c r="A1" s="23"/>
      <c r="B1" s="23"/>
      <c r="C1" s="23"/>
      <c r="D1" s="23"/>
      <c r="E1" s="23"/>
      <c r="F1" s="23"/>
      <c r="G1" s="23"/>
    </row>
    <row r="2" spans="1:20" ht="15.75" customHeight="1" x14ac:dyDescent="0.3">
      <c r="A2" s="21"/>
      <c r="B2" s="21"/>
      <c r="C2" s="21"/>
      <c r="D2" s="21"/>
      <c r="E2" s="21"/>
      <c r="F2" s="21"/>
      <c r="G2" s="21"/>
      <c r="H2" s="22"/>
    </row>
    <row r="3" spans="1:20" ht="15.6" x14ac:dyDescent="0.3">
      <c r="A3" s="1">
        <v>2</v>
      </c>
      <c r="B3" s="1">
        <v>3</v>
      </c>
      <c r="C3" s="1">
        <v>4</v>
      </c>
      <c r="D3" s="1">
        <v>5</v>
      </c>
      <c r="E3" s="1">
        <v>6</v>
      </c>
      <c r="F3" s="1">
        <v>7</v>
      </c>
      <c r="G3" s="1">
        <v>8</v>
      </c>
      <c r="H3" s="2">
        <v>12</v>
      </c>
    </row>
    <row r="4" spans="1:20" ht="94.5" customHeight="1" x14ac:dyDescent="0.3">
      <c r="A4" s="24" t="s">
        <v>0</v>
      </c>
      <c r="B4" s="18" t="s">
        <v>1</v>
      </c>
      <c r="C4" s="18" t="s">
        <v>2</v>
      </c>
      <c r="D4" s="18" t="s">
        <v>3</v>
      </c>
      <c r="E4" s="24" t="s">
        <v>4</v>
      </c>
      <c r="F4" s="24" t="s">
        <v>5</v>
      </c>
      <c r="G4" s="24" t="s">
        <v>6</v>
      </c>
      <c r="H4" s="18" t="s">
        <v>7</v>
      </c>
    </row>
    <row r="5" spans="1:20" ht="15.75" customHeight="1" x14ac:dyDescent="0.3">
      <c r="A5" s="16"/>
      <c r="B5" s="16"/>
      <c r="C5" s="16"/>
      <c r="D5" s="16"/>
      <c r="E5" s="16"/>
      <c r="F5" s="16"/>
      <c r="G5" s="16"/>
      <c r="H5" s="16"/>
    </row>
    <row r="6" spans="1:20" ht="15.75" customHeight="1" x14ac:dyDescent="0.3">
      <c r="A6" s="20" t="s">
        <v>8</v>
      </c>
      <c r="B6" s="21"/>
      <c r="C6" s="21"/>
      <c r="D6" s="21"/>
      <c r="E6" s="21"/>
      <c r="F6" s="21"/>
      <c r="G6" s="21"/>
      <c r="H6" s="22"/>
    </row>
    <row r="7" spans="1:20" ht="140.25" customHeight="1" x14ac:dyDescent="0.3">
      <c r="A7" s="18" t="s">
        <v>9</v>
      </c>
      <c r="B7" s="18" t="s">
        <v>10</v>
      </c>
      <c r="C7" s="18">
        <v>2</v>
      </c>
      <c r="D7" s="26">
        <v>34.04</v>
      </c>
      <c r="E7" s="17">
        <v>103.37</v>
      </c>
      <c r="F7" s="3" t="s">
        <v>11</v>
      </c>
      <c r="G7" s="18" t="s">
        <v>12</v>
      </c>
      <c r="H7" s="25" t="s">
        <v>13</v>
      </c>
    </row>
    <row r="8" spans="1:20" ht="17.25" customHeight="1" x14ac:dyDescent="0.3">
      <c r="A8" s="16"/>
      <c r="B8" s="16"/>
      <c r="C8" s="16"/>
      <c r="D8" s="16"/>
      <c r="E8" s="16"/>
      <c r="F8" s="5" t="s">
        <v>14</v>
      </c>
      <c r="G8" s="16"/>
      <c r="H8" s="16"/>
    </row>
    <row r="9" spans="1:20" ht="120.75" customHeight="1" x14ac:dyDescent="0.3">
      <c r="A9" s="18" t="s">
        <v>16</v>
      </c>
      <c r="B9" s="18" t="s">
        <v>17</v>
      </c>
      <c r="C9" s="19">
        <v>9</v>
      </c>
      <c r="D9" s="17">
        <v>2.5</v>
      </c>
      <c r="E9" s="17" t="s">
        <v>18</v>
      </c>
      <c r="F9" s="3" t="s">
        <v>19</v>
      </c>
      <c r="G9" s="18" t="s">
        <v>20</v>
      </c>
      <c r="H9" s="15"/>
    </row>
    <row r="10" spans="1:20" ht="15.75" customHeight="1" x14ac:dyDescent="0.3">
      <c r="A10" s="16"/>
      <c r="B10" s="16"/>
      <c r="C10" s="16"/>
      <c r="D10" s="16"/>
      <c r="E10" s="16"/>
      <c r="F10" s="7" t="s">
        <v>15</v>
      </c>
      <c r="G10" s="16"/>
      <c r="H10" s="16"/>
    </row>
    <row r="11" spans="1:20" ht="75.75" customHeight="1" x14ac:dyDescent="0.3">
      <c r="A11" s="9" t="s">
        <v>22</v>
      </c>
      <c r="B11" s="9" t="s">
        <v>21</v>
      </c>
      <c r="C11" s="9">
        <v>2</v>
      </c>
      <c r="D11" s="10">
        <v>0</v>
      </c>
      <c r="E11" s="10">
        <v>1.91</v>
      </c>
      <c r="F11" s="6" t="s">
        <v>23</v>
      </c>
      <c r="G11" s="9" t="s">
        <v>24</v>
      </c>
      <c r="H11" s="11"/>
    </row>
    <row r="12" spans="1:20" ht="110.4" customHeight="1" x14ac:dyDescent="0.3">
      <c r="A12" s="9" t="s">
        <v>25</v>
      </c>
      <c r="B12" s="9" t="s">
        <v>21</v>
      </c>
      <c r="C12" s="9">
        <v>2</v>
      </c>
      <c r="D12" s="10">
        <v>9.59</v>
      </c>
      <c r="E12" s="10">
        <v>29.19</v>
      </c>
      <c r="F12" s="6" t="s">
        <v>26</v>
      </c>
      <c r="G12" s="9" t="s">
        <v>27</v>
      </c>
      <c r="H12" s="11"/>
    </row>
    <row r="13" spans="1:20" ht="15.75" customHeight="1" x14ac:dyDescent="0.3">
      <c r="A13" s="21"/>
      <c r="B13" s="22"/>
      <c r="C13" s="12" t="s">
        <v>28</v>
      </c>
      <c r="D13" s="10" t="e">
        <f>SUM(D7:D10,#REF!)</f>
        <v>#REF!</v>
      </c>
      <c r="E13" s="13" t="e">
        <f>SUM(#REF!,#REF!)</f>
        <v>#REF!</v>
      </c>
      <c r="F13" s="14" t="e">
        <f t="shared" ref="F13:F14" si="0">SUM(D13:E13)</f>
        <v>#REF!</v>
      </c>
      <c r="G13" s="9" t="s">
        <v>29</v>
      </c>
      <c r="H13" s="2"/>
      <c r="J13" s="8"/>
    </row>
    <row r="14" spans="1:20" ht="15.75" customHeight="1" x14ac:dyDescent="0.3">
      <c r="A14" s="21"/>
      <c r="B14" s="22"/>
      <c r="C14" s="12" t="s">
        <v>28</v>
      </c>
      <c r="D14" s="10" t="e">
        <f>SUM(#REF!,D11:D12)</f>
        <v>#REF!</v>
      </c>
      <c r="E14" s="13" t="e">
        <f>SUM(#REF!,#REF!)</f>
        <v>#REF!</v>
      </c>
      <c r="F14" s="14" t="e">
        <f t="shared" si="0"/>
        <v>#REF!</v>
      </c>
      <c r="G14" s="9" t="s">
        <v>29</v>
      </c>
      <c r="H14" s="2"/>
      <c r="I14" s="27"/>
      <c r="J14" s="21"/>
      <c r="K14" s="22"/>
      <c r="L14" s="12"/>
      <c r="M14" s="10"/>
      <c r="N14" s="13"/>
      <c r="O14" s="10"/>
      <c r="P14" s="9"/>
      <c r="Q14" s="9"/>
      <c r="R14" s="4"/>
      <c r="S14" s="2"/>
      <c r="T14" s="2"/>
    </row>
    <row r="15" spans="1:20" ht="15.75" customHeight="1" x14ac:dyDescent="0.3"/>
    <row r="16" spans="1:20" ht="15.75" customHeight="1" x14ac:dyDescent="0.3"/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</sheetData>
  <mergeCells count="28">
    <mergeCell ref="I14:K14"/>
    <mergeCell ref="B9:B10"/>
    <mergeCell ref="C9:C10"/>
    <mergeCell ref="A9:A10"/>
    <mergeCell ref="A7:A8"/>
    <mergeCell ref="B7:B8"/>
    <mergeCell ref="C7:C8"/>
    <mergeCell ref="D7:D8"/>
    <mergeCell ref="E7:E8"/>
    <mergeCell ref="A4:A5"/>
    <mergeCell ref="B4:B5"/>
    <mergeCell ref="C4:C5"/>
    <mergeCell ref="H4:H5"/>
    <mergeCell ref="A6:H6"/>
    <mergeCell ref="D4:D5"/>
    <mergeCell ref="E4:E5"/>
    <mergeCell ref="F4:F5"/>
    <mergeCell ref="G4:G5"/>
    <mergeCell ref="A1:G1"/>
    <mergeCell ref="A2:H2"/>
    <mergeCell ref="G7:G8"/>
    <mergeCell ref="H7:H8"/>
    <mergeCell ref="D9:D10"/>
    <mergeCell ref="E9:E10"/>
    <mergeCell ref="A13:B13"/>
    <mergeCell ref="A14:B14"/>
    <mergeCell ref="G9:G10"/>
    <mergeCell ref="H9:H10"/>
  </mergeCells>
  <hyperlinks>
    <hyperlink ref="F8" r:id="rId1" xr:uid="{00000000-0004-0000-0000-000001000000}"/>
    <hyperlink ref="F10" r:id="rId2" xr:uid="{00000000-0004-0000-0000-000005000000}"/>
    <hyperlink ref="F11" r:id="rId3" xr:uid="{00000000-0004-0000-0000-000014000000}"/>
    <hyperlink ref="F12" r:id="rId4" xr:uid="{00000000-0004-0000-0000-000015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Deikun</dc:creator>
  <cp:lastModifiedBy>Andrew Deikun</cp:lastModifiedBy>
  <dcterms:created xsi:type="dcterms:W3CDTF">2025-11-27T10:36:28Z</dcterms:created>
  <dcterms:modified xsi:type="dcterms:W3CDTF">2026-08-03T09:06:50Z</dcterms:modified>
</cp:coreProperties>
</file>